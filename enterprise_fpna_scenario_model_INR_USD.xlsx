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Engine" sheetId="2" state="visible" r:id="rId2"/>
    <sheet xmlns:r="http://schemas.openxmlformats.org/officeDocument/2006/relationships" name="Department Variance" sheetId="3" state="visible" r:id="rId3"/>
    <sheet xmlns:r="http://schemas.openxmlformats.org/officeDocument/2006/relationships" name="FX &amp; Assumptions" sheetId="4" state="visible" r:id="rId4"/>
    <sheet xmlns:r="http://schemas.openxmlformats.org/officeDocument/2006/relationships" name="Read Me" sheetId="5" state="visible" r:id="rId5"/>
    <sheet xmlns:r="http://schemas.openxmlformats.org/officeDocument/2006/relationships" name="Variance Chart" sheetId="6" state="visible" r:id="rId6"/>
  </sheets>
  <definedNames>
    <definedName name="_xlnm.Print_Area" localSheetId="0">'Executive Dashboard'!$A$1:$G$24</definedName>
    <definedName name="_xlnm.Print_Area" localSheetId="1">'Scenario Engine'!$A$1:$K$25</definedName>
    <definedName name="_xlnm._FilterDatabase" localSheetId="2" hidden="1">'Department Variance'!$A$4:$J$11</definedName>
    <definedName name="_xlnm.Print_Area" localSheetId="2">'Department Variance'!$A$1:$J$11</definedName>
    <definedName name="_xlnm.Print_Area" localSheetId="3">'FX &amp; Assumptions'!$A$1:$C$8</definedName>
    <definedName name="_xlnm.Print_Area" localSheetId="4">'Read Me'!$A$1:$A$12</definedName>
    <definedName name="_xlnm.Print_Area" localSheetId="5">'Variance Chart'!$A$1:$K$28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₹#,##0"/>
    <numFmt numFmtId="167" formatCode="₹#,##0.00"/>
    <numFmt numFmtId="168" formatCode="$#,##0.00"/>
    <numFmt numFmtId="169" formatCode="₹0.00"/>
    <numFmt numFmtId="170" formatCode="$0.0&quot;M&quot;"/>
    <numFmt numFmtId="171" formatCode="₹0.0&quot;Cr&quot;"/>
  </numFmts>
  <fonts count="1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8"/>
    </font>
    <font>
      <i val="1"/>
      <color rgb="00666666"/>
    </font>
    <font>
      <b val="1"/>
      <sz val="14"/>
    </font>
    <font>
      <b val="1"/>
      <sz val="13"/>
    </font>
    <font>
      <b val="1"/>
      <color rgb="001F1F1F"/>
      <sz val="20"/>
    </font>
    <font>
      <i val="1"/>
      <color rgb="00666666"/>
      <sz val="10"/>
    </font>
    <font>
      <b val="1"/>
      <color rgb="001F1F1F"/>
      <sz val="15"/>
    </font>
    <font>
      <b val="1"/>
      <sz val="20"/>
    </font>
    <font>
      <i val="1"/>
      <color rgb="00666666"/>
      <sz val="9"/>
    </font>
    <font>
      <b val="1"/>
      <sz val="12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D9D9D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9" fontId="2" fillId="2" borderId="1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7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2" fillId="2" borderId="0" applyAlignment="1" pivotButton="0" quotePrefix="0" xfId="0">
      <alignment horizontal="left"/>
    </xf>
    <xf numFmtId="164" fontId="10" fillId="0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11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9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166" fontId="0" fillId="0" borderId="2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5" fontId="2" fillId="2" borderId="2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vertical="top" wrapText="1"/>
    </xf>
    <xf numFmtId="170" fontId="10" fillId="0" borderId="0" pivotButton="0" quotePrefix="0" xfId="0"/>
    <xf numFmtId="171" fontId="10" fillId="0" borderId="0" pivotButton="0" quotePrefix="0" xfId="0"/>
    <xf numFmtId="0" fontId="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70" fontId="0" fillId="0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Year-End Variance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'Variance Chart'!B4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 Chart'!$A$5:$A$11</f>
            </numRef>
          </cat>
          <val>
            <numRef>
              <f>'Variance Chart'!$B$5:$B$11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8" customWidth="1" min="4" max="4"/>
    <col width="14" customWidth="1" min="5" max="5"/>
    <col width="15" customWidth="1" min="6" max="6"/>
    <col width="17" customWidth="1" min="7" max="7"/>
    <col width="12" customWidth="1" min="8" max="8"/>
  </cols>
  <sheetData>
    <row r="1">
      <c r="A1" s="32" t="inlineStr">
        <is>
          <t>Enterprise FP&amp;A Analytics Dashboard</t>
        </is>
      </c>
    </row>
    <row r="2">
      <c r="A2" s="33" t="inlineStr">
        <is>
          <t>Synthetic case study | FY2026 YTD through July | USD / INR view</t>
        </is>
      </c>
    </row>
    <row r="4">
      <c r="A4" s="34" t="inlineStr">
        <is>
          <t>FY2026 Annual Budget</t>
        </is>
      </c>
      <c r="D4" s="34" t="inlineStr">
        <is>
          <t>FY2026 YTD</t>
        </is>
      </c>
      <c r="G4" s="34" t="inlineStr">
        <is>
          <t>YTD Budget Burn</t>
        </is>
      </c>
    </row>
    <row r="5">
      <c r="A5" s="35" t="n">
        <v>188945000</v>
      </c>
      <c r="D5" s="60" t="n">
        <v>118.87800254</v>
      </c>
      <c r="G5" s="36" t="n">
        <v>0.6291672314</v>
      </c>
    </row>
    <row r="8">
      <c r="A8" s="34" t="inlineStr">
        <is>
          <t>Projected Var.</t>
        </is>
      </c>
      <c r="D8" s="34" t="inlineStr">
        <is>
          <t>YTD Actual INR</t>
        </is>
      </c>
      <c r="G8" s="34" t="inlineStr">
        <is>
          <t>Base EBITDA</t>
        </is>
      </c>
    </row>
    <row r="9">
      <c r="A9" s="35" t="n">
        <v>14845861.5</v>
      </c>
      <c r="D9" s="61" t="n">
        <v>1134.80941224684</v>
      </c>
      <c r="G9" s="35" t="n">
        <v>45980000.00000003</v>
      </c>
    </row>
    <row r="13">
      <c r="A13" s="62" t="inlineStr">
        <is>
          <t>FY2026 Department Run-Rate Risk</t>
        </is>
      </c>
      <c r="B13" s="63" t="n"/>
      <c r="C13" s="63" t="n"/>
      <c r="D13" s="63" t="n"/>
      <c r="E13" s="63" t="n"/>
      <c r="F13" s="63" t="n"/>
      <c r="G13" s="63" t="n"/>
    </row>
    <row r="14">
      <c r="A14" s="54" t="inlineStr">
        <is>
          <t>Department</t>
        </is>
      </c>
      <c r="B14" s="55" t="inlineStr">
        <is>
          <t>Budget</t>
        </is>
      </c>
      <c r="C14" s="55" t="inlineStr">
        <is>
          <t>YTD</t>
        </is>
      </c>
      <c r="D14" s="56" t="inlineStr">
        <is>
          <t>Burn</t>
        </is>
      </c>
      <c r="E14" s="55" t="inlineStr">
        <is>
          <t>Run-rate</t>
        </is>
      </c>
      <c r="F14" s="55" t="inlineStr">
        <is>
          <t>Proj. Var.</t>
        </is>
      </c>
      <c r="G14" s="54" t="inlineStr">
        <is>
          <t>Risk</t>
        </is>
      </c>
    </row>
    <row r="15">
      <c r="A15" s="39" t="inlineStr">
        <is>
          <t>Engineering</t>
        </is>
      </c>
      <c r="B15" s="64" t="n">
        <v>49.755</v>
      </c>
      <c r="C15" s="64" t="n">
        <v>37.75946754</v>
      </c>
      <c r="D15" s="41" t="n">
        <v>0.758908</v>
      </c>
      <c r="E15" s="64" t="n">
        <v>64.73051578285713</v>
      </c>
      <c r="F15" s="64" t="n">
        <v>14.97551578285713</v>
      </c>
      <c r="G15" s="42" t="inlineStr">
        <is>
          <t>HIGH RISK</t>
        </is>
      </c>
    </row>
    <row r="16">
      <c r="A16" s="39" t="inlineStr">
        <is>
          <t>Operations</t>
        </is>
      </c>
      <c r="B16" s="64" t="n">
        <v>23.32</v>
      </c>
      <c r="C16" s="64" t="n">
        <v>16.62018732</v>
      </c>
      <c r="D16" s="41" t="n">
        <v>0.712701</v>
      </c>
      <c r="E16" s="64" t="n">
        <v>28.49174969142857</v>
      </c>
      <c r="F16" s="64" t="n">
        <v>5.171749691428572</v>
      </c>
      <c r="G16" s="42" t="inlineStr">
        <is>
          <t>HIGH RISK</t>
        </is>
      </c>
    </row>
    <row r="17">
      <c r="A17" s="39" t="inlineStr">
        <is>
          <t>Product &amp; Design</t>
        </is>
      </c>
      <c r="B17" s="64" t="n">
        <v>19.08</v>
      </c>
      <c r="C17" s="64" t="n">
        <v>12.01078368</v>
      </c>
      <c r="D17" s="41" t="n">
        <v>0.6294959999999999</v>
      </c>
      <c r="E17" s="64" t="n">
        <v>20.58991488</v>
      </c>
      <c r="F17" s="64" t="n">
        <v>1.509914879999999</v>
      </c>
      <c r="G17" s="43" t="inlineStr">
        <is>
          <t>ON TRACK</t>
        </is>
      </c>
    </row>
    <row r="18">
      <c r="A18" s="39" t="inlineStr">
        <is>
          <t>Sales</t>
        </is>
      </c>
      <c r="B18" s="64" t="n">
        <v>28.35</v>
      </c>
      <c r="C18" s="64" t="n">
        <v>16.8399</v>
      </c>
      <c r="D18" s="41" t="n">
        <v>0.594</v>
      </c>
      <c r="E18" s="64" t="n">
        <v>28.8684</v>
      </c>
      <c r="F18" s="64" t="n">
        <v>0.5184</v>
      </c>
      <c r="G18" s="43" t="inlineStr">
        <is>
          <t>ON TRACK</t>
        </is>
      </c>
    </row>
    <row r="19">
      <c r="A19" s="39" t="inlineStr">
        <is>
          <t>Finance &amp; Legal</t>
        </is>
      </c>
      <c r="B19" s="64" t="n">
        <v>16.64</v>
      </c>
      <c r="C19" s="64" t="n">
        <v>9.093427199999999</v>
      </c>
      <c r="D19" s="41" t="n">
        <v>0.54648</v>
      </c>
      <c r="E19" s="64" t="n">
        <v>15.58873234285714</v>
      </c>
      <c r="F19" s="64" t="n">
        <v>-1.051267657142859</v>
      </c>
      <c r="G19" s="43" t="inlineStr">
        <is>
          <t>ON TRACK</t>
        </is>
      </c>
    </row>
    <row r="20">
      <c r="A20" s="39" t="inlineStr">
        <is>
          <t>Marketing</t>
        </is>
      </c>
      <c r="B20" s="64" t="n">
        <v>31.2</v>
      </c>
      <c r="C20" s="64" t="n">
        <v>16.5106656</v>
      </c>
      <c r="D20" s="41" t="n">
        <v>0.529188</v>
      </c>
      <c r="E20" s="64" t="n">
        <v>28.30399817142857</v>
      </c>
      <c r="F20" s="64" t="n">
        <v>-2.896001828571431</v>
      </c>
      <c r="G20" s="43" t="inlineStr">
        <is>
          <t>ON TRACK</t>
        </is>
      </c>
    </row>
    <row r="21">
      <c r="A21" s="39" t="inlineStr">
        <is>
          <t>Customer Success</t>
        </is>
      </c>
      <c r="B21" s="64" t="n">
        <v>20.6</v>
      </c>
      <c r="C21" s="64" t="n">
        <v>10.0435712</v>
      </c>
      <c r="D21" s="41" t="n">
        <v>0.487552</v>
      </c>
      <c r="E21" s="64" t="n">
        <v>17.21755062857142</v>
      </c>
      <c r="F21" s="64" t="n">
        <v>-3.382449371428575</v>
      </c>
      <c r="G21" s="44" t="inlineStr">
        <is>
          <t>UNDERUTILIZED</t>
        </is>
      </c>
    </row>
    <row r="23">
      <c r="A23" s="57" t="inlineStr">
        <is>
          <t>Forecast note: annualized spend assumes the Jan–Jul run-rate continues through the remaining five months.</t>
        </is>
      </c>
    </row>
    <row r="24">
      <c r="A24" s="57" t="inlineStr">
        <is>
          <t>The scenario P&amp;L is illustrative and is not derived from the ERP ledger.</t>
        </is>
      </c>
    </row>
  </sheetData>
  <mergeCells count="2">
    <mergeCell ref="A24:G24"/>
    <mergeCell ref="A23:G23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8" customWidth="1" min="5" max="5"/>
    <col width="15" customWidth="1" min="6" max="6"/>
    <col width="17" customWidth="1" min="7" max="7"/>
    <col width="17" customWidth="1" min="8" max="8"/>
    <col width="15" customWidth="1" min="9" max="9"/>
    <col width="17" customWidth="1" min="10" max="10"/>
    <col width="17" customWidth="1" min="11" max="11"/>
  </cols>
  <sheetData>
    <row r="1">
      <c r="A1" s="45" t="inlineStr">
        <is>
          <t>Enterprise Scenario Engine</t>
        </is>
      </c>
    </row>
    <row r="2">
      <c r="A2" s="33" t="inlineStr">
        <is>
          <t>Illustrative operating P&amp;L; separate from the synthetic ERP spend ledger</t>
        </is>
      </c>
    </row>
    <row r="4">
      <c r="A4" s="38" t="inlineStr">
        <is>
          <t>Scenario</t>
        </is>
      </c>
      <c r="B4" s="38" t="inlineStr">
        <is>
          <t>Revenue USD</t>
        </is>
      </c>
      <c r="C4" s="38" t="inlineStr">
        <is>
          <t>Revenue INR</t>
        </is>
      </c>
      <c r="D4" s="38" t="inlineStr">
        <is>
          <t>COGS USD</t>
        </is>
      </c>
      <c r="E4" s="38" t="inlineStr">
        <is>
          <t>Gross Profit USD</t>
        </is>
      </c>
      <c r="F4" s="38" t="inlineStr">
        <is>
          <t>Gross Margin</t>
        </is>
      </c>
      <c r="G4" s="38" t="inlineStr">
        <is>
          <t>OPEX USD</t>
        </is>
      </c>
      <c r="H4" s="38" t="inlineStr">
        <is>
          <t>EBITDA USD</t>
        </is>
      </c>
      <c r="I4" s="38" t="inlineStr">
        <is>
          <t>EBITDA Margin</t>
        </is>
      </c>
      <c r="J4" s="38" t="inlineStr">
        <is>
          <t>Net Income USD</t>
        </is>
      </c>
      <c r="K4" s="38" t="inlineStr">
        <is>
          <t>Net Income INR</t>
        </is>
      </c>
    </row>
    <row r="5">
      <c r="A5" t="inlineStr">
        <is>
          <t>Bear</t>
        </is>
      </c>
      <c r="B5" s="27" t="n">
        <v>224400000</v>
      </c>
      <c r="C5" s="27" t="n">
        <v>21421224000</v>
      </c>
      <c r="D5" s="27" t="n">
        <v>59690400</v>
      </c>
      <c r="E5" s="27" t="n">
        <v>164709600</v>
      </c>
      <c r="F5" s="29" t="n">
        <v>0.734</v>
      </c>
      <c r="G5" s="27" t="n">
        <v>131274000</v>
      </c>
      <c r="H5" s="27" t="n">
        <v>33435600.00000001</v>
      </c>
      <c r="I5" s="29" t="n">
        <v>0.1490000000000001</v>
      </c>
      <c r="J5" s="27" t="n">
        <v>17935600.00000001</v>
      </c>
      <c r="K5" s="27" t="n">
        <v>1712132376.000001</v>
      </c>
    </row>
    <row r="6">
      <c r="A6" t="inlineStr">
        <is>
          <t>Base</t>
        </is>
      </c>
      <c r="B6" s="27" t="n">
        <v>242000000</v>
      </c>
      <c r="C6" s="27" t="n">
        <v>23101320000</v>
      </c>
      <c r="D6" s="27" t="n">
        <v>57838000.00000001</v>
      </c>
      <c r="E6" s="27" t="n">
        <v>184162000</v>
      </c>
      <c r="F6" s="29" t="n">
        <v>0.761</v>
      </c>
      <c r="G6" s="27" t="n">
        <v>138182000</v>
      </c>
      <c r="H6" s="27" t="n">
        <v>45980000.00000003</v>
      </c>
      <c r="I6" s="29" t="n">
        <v>0.1900000000000001</v>
      </c>
      <c r="J6" s="27" t="n">
        <v>29480000.00000003</v>
      </c>
      <c r="K6" s="27" t="n">
        <v>2814160800.000003</v>
      </c>
    </row>
    <row r="7">
      <c r="A7" t="inlineStr">
        <is>
          <t>Bull</t>
        </is>
      </c>
      <c r="B7" s="27" t="n">
        <v>264000000</v>
      </c>
      <c r="C7" s="27" t="n">
        <v>25201440000</v>
      </c>
      <c r="D7" s="27" t="n">
        <v>56232000</v>
      </c>
      <c r="E7" s="27" t="n">
        <v>207768000</v>
      </c>
      <c r="F7" s="29" t="n">
        <v>0.787</v>
      </c>
      <c r="G7" s="27" t="n">
        <v>149424000</v>
      </c>
      <c r="H7" s="27" t="n">
        <v>58344000</v>
      </c>
      <c r="I7" s="29" t="n">
        <v>0.221</v>
      </c>
      <c r="J7" s="27" t="n">
        <v>39844000</v>
      </c>
      <c r="K7" s="27" t="n">
        <v>3803508240</v>
      </c>
    </row>
    <row r="10">
      <c r="A10" s="46" t="inlineStr">
        <is>
          <t>EBITDA margin sensitivity</t>
        </is>
      </c>
      <c r="H10" s="58" t="inlineStr">
        <is>
          <t>Sensitivity interpretation</t>
        </is>
      </c>
    </row>
    <row r="11">
      <c r="A11" s="47" t="inlineStr">
        <is>
          <t>Revenue growth / OPEX inflation</t>
        </is>
      </c>
      <c r="B11" s="48" t="n">
        <v>-0.05</v>
      </c>
      <c r="C11" s="48" t="n">
        <v>0</v>
      </c>
      <c r="D11" s="48" t="n">
        <v>0.05</v>
      </c>
      <c r="E11" s="48" t="n">
        <v>0.1</v>
      </c>
      <c r="F11" s="48" t="n">
        <v>0.15</v>
      </c>
      <c r="H11" s="59" t="inlineStr">
        <is>
          <t>Revenue growth improves the margin because the model treats a portion of OPEX as fixed. Higher OPEX inflation reduces EBITDA margin. The grid is illustrative, not a statistical forecast.</t>
        </is>
      </c>
    </row>
    <row r="12">
      <c r="A12" s="48" t="n">
        <v>0</v>
      </c>
      <c r="B12" s="29">
        <f>1-$D$6/$B$6-$G$6*(1+B$11)/($B$5*(1+$A12))</f>
        <v/>
      </c>
      <c r="C12" s="29">
        <f>1-$D$6/$B$6-$G$6*(1+C$11)/($B$5*(1+$A12))</f>
        <v/>
      </c>
      <c r="D12" s="29">
        <f>1-$D$6/$B$6-$G$6*(1+D$11)/($B$5*(1+$A12))</f>
        <v/>
      </c>
      <c r="E12" s="29">
        <f>1-$D$6/$B$6-$G$6*(1+E$11)/($B$5*(1+$A12))</f>
        <v/>
      </c>
      <c r="F12" s="29">
        <f>1-$D$6/$B$6-$G$6*(1+F$11)/($B$5*(1+$A12))</f>
        <v/>
      </c>
    </row>
    <row r="13">
      <c r="A13" s="48" t="n">
        <v>0.02</v>
      </c>
      <c r="B13" s="29">
        <f>1-$D$6/$B$6-$G$6*(1+B$11)/($B$5*(1+$A13))</f>
        <v/>
      </c>
      <c r="C13" s="29">
        <f>1-$D$6/$B$6-$G$6*(1+C$11)/($B$5*(1+$A13))</f>
        <v/>
      </c>
      <c r="D13" s="29">
        <f>1-$D$6/$B$6-$G$6*(1+D$11)/($B$5*(1+$A13))</f>
        <v/>
      </c>
      <c r="E13" s="29">
        <f>1-$D$6/$B$6-$G$6*(1+E$11)/($B$5*(1+$A13))</f>
        <v/>
      </c>
      <c r="F13" s="29">
        <f>1-$D$6/$B$6-$G$6*(1+F$11)/($B$5*(1+$A13))</f>
        <v/>
      </c>
    </row>
    <row r="14">
      <c r="A14" s="48" t="n">
        <v>0.04</v>
      </c>
      <c r="B14" s="29">
        <f>1-$D$6/$B$6-$G$6*(1+B$11)/($B$5*(1+$A14))</f>
        <v/>
      </c>
      <c r="C14" s="29">
        <f>1-$D$6/$B$6-$G$6*(1+C$11)/($B$5*(1+$A14))</f>
        <v/>
      </c>
      <c r="D14" s="29">
        <f>1-$D$6/$B$6-$G$6*(1+D$11)/($B$5*(1+$A14))</f>
        <v/>
      </c>
      <c r="E14" s="29">
        <f>1-$D$6/$B$6-$G$6*(1+E$11)/($B$5*(1+$A14))</f>
        <v/>
      </c>
      <c r="F14" s="29">
        <f>1-$D$6/$B$6-$G$6*(1+F$11)/($B$5*(1+$A14))</f>
        <v/>
      </c>
    </row>
    <row r="15">
      <c r="A15" s="48" t="n">
        <v>0.06</v>
      </c>
      <c r="B15" s="29">
        <f>1-$D$6/$B$6-$G$6*(1+B$11)/($B$5*(1+$A15))</f>
        <v/>
      </c>
      <c r="C15" s="29">
        <f>1-$D$6/$B$6-$G$6*(1+C$11)/($B$5*(1+$A15))</f>
        <v/>
      </c>
      <c r="D15" s="29">
        <f>1-$D$6/$B$6-$G$6*(1+D$11)/($B$5*(1+$A15))</f>
        <v/>
      </c>
      <c r="E15" s="29">
        <f>1-$D$6/$B$6-$G$6*(1+E$11)/($B$5*(1+$A15))</f>
        <v/>
      </c>
      <c r="F15" s="29">
        <f>1-$D$6/$B$6-$G$6*(1+F$11)/($B$5*(1+$A15))</f>
        <v/>
      </c>
    </row>
    <row r="16">
      <c r="A16" s="48" t="n">
        <v>0.08</v>
      </c>
      <c r="B16" s="29">
        <f>1-$D$6/$B$6-$G$6*(1+B$11)/($B$5*(1+$A16))</f>
        <v/>
      </c>
      <c r="C16" s="29">
        <f>1-$D$6/$B$6-$G$6*(1+C$11)/($B$5*(1+$A16))</f>
        <v/>
      </c>
      <c r="D16" s="29">
        <f>1-$D$6/$B$6-$G$6*(1+D$11)/($B$5*(1+$A16))</f>
        <v/>
      </c>
      <c r="E16" s="29">
        <f>1-$D$6/$B$6-$G$6*(1+E$11)/($B$5*(1+$A16))</f>
        <v/>
      </c>
      <c r="F16" s="29">
        <f>1-$D$6/$B$6-$G$6*(1+F$11)/($B$5*(1+$A16))</f>
        <v/>
      </c>
    </row>
    <row r="19">
      <c r="A19" s="46" t="inlineStr">
        <is>
          <t>Scenario selector</t>
        </is>
      </c>
    </row>
    <row r="20">
      <c r="A20" t="inlineStr">
        <is>
          <t>Select scenario</t>
        </is>
      </c>
      <c r="B20" t="inlineStr">
        <is>
          <t>Base</t>
        </is>
      </c>
    </row>
    <row r="21">
      <c r="A21" t="inlineStr">
        <is>
          <t>Revenue USD</t>
        </is>
      </c>
      <c r="B21" s="27">
        <f>INDEX($B$5:$K$7,MATCH($B$20,$A$5:$A$7,0),1)</f>
        <v/>
      </c>
    </row>
    <row r="22">
      <c r="A22" t="inlineStr">
        <is>
          <t>Revenue INR</t>
        </is>
      </c>
      <c r="B22" s="28">
        <f>INDEX($B$5:$K$7,MATCH($B$20,$A$5:$A$7,0),2)</f>
        <v/>
      </c>
    </row>
    <row r="23">
      <c r="A23" t="inlineStr">
        <is>
          <t>EBITDA USD</t>
        </is>
      </c>
      <c r="B23" s="27">
        <f>INDEX($B$5:$K$7,MATCH($B$20,$A$5:$A$7,0),7)</f>
        <v/>
      </c>
    </row>
    <row r="24">
      <c r="A24" t="inlineStr">
        <is>
          <t>EBITDA Margin</t>
        </is>
      </c>
      <c r="B24" s="29">
        <f>INDEX($B$5:$K$7,MATCH($B$20,$A$5:$A$7,0),8)</f>
        <v/>
      </c>
    </row>
    <row r="25">
      <c r="A25" t="inlineStr">
        <is>
          <t>Net Income USD</t>
        </is>
      </c>
      <c r="B25" s="27">
        <f>INDEX($B$5:$K$7,MATCH($B$20,$A$5:$A$7,0),9)</f>
        <v/>
      </c>
    </row>
  </sheetData>
  <mergeCells count="1">
    <mergeCell ref="H11:K14"/>
  </mergeCells>
  <conditionalFormatting sqref="B12:F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20" showDropDown="0" showInputMessage="0" showErrorMessage="0" allowBlank="0" type="list">
      <formula1>"Bear,Base,Bull"</formula1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17" customWidth="1" min="4" max="4"/>
    <col width="18" customWidth="1" min="5" max="5"/>
    <col width="24" customWidth="1" min="6" max="6"/>
    <col width="12" customWidth="1" min="7" max="7"/>
    <col width="22" customWidth="1" min="8" max="8"/>
    <col width="24" customWidth="1" min="9" max="9"/>
    <col width="16" customWidth="1" min="10" max="10"/>
  </cols>
  <sheetData>
    <row r="1">
      <c r="A1" s="49" t="inlineStr">
        <is>
          <t>FY2026 Department Variance</t>
        </is>
      </c>
    </row>
    <row r="2">
      <c r="A2" s="33" t="inlineStr">
        <is>
          <t>YTD actuals through 31-Jul-2026 | annualized using 7 completed months</t>
        </is>
      </c>
    </row>
    <row r="4">
      <c r="A4" s="50" t="inlineStr">
        <is>
          <t>Department</t>
        </is>
      </c>
      <c r="B4" s="50" t="inlineStr">
        <is>
          <t>Budget USD</t>
        </is>
      </c>
      <c r="C4" s="50" t="inlineStr">
        <is>
          <t>Budget INR</t>
        </is>
      </c>
      <c r="D4" s="50" t="inlineStr">
        <is>
          <t>YTD Actual USD</t>
        </is>
      </c>
      <c r="E4" s="50" t="inlineStr">
        <is>
          <t>YTD Actual INR</t>
        </is>
      </c>
      <c r="F4" s="50" t="inlineStr">
        <is>
          <t>Variance vs Full-Year Budget USD</t>
        </is>
      </c>
      <c r="G4" s="50" t="inlineStr">
        <is>
          <t>Burn %</t>
        </is>
      </c>
      <c r="H4" s="50" t="inlineStr">
        <is>
          <t>Annualized Spend USD</t>
        </is>
      </c>
      <c r="I4" s="50" t="inlineStr">
        <is>
          <t>Projected Variance USD</t>
        </is>
      </c>
      <c r="J4" s="50" t="inlineStr">
        <is>
          <t>Risk</t>
        </is>
      </c>
    </row>
    <row r="5">
      <c r="A5" s="39" t="inlineStr">
        <is>
          <t>Engineering</t>
        </is>
      </c>
      <c r="B5" s="40" t="n">
        <v>49755000</v>
      </c>
      <c r="C5" s="51" t="n">
        <v>4749612300</v>
      </c>
      <c r="D5" s="40" t="n">
        <v>37759467.54</v>
      </c>
      <c r="E5" s="51" t="n">
        <v>3604518771.3684</v>
      </c>
      <c r="F5" s="40" t="n">
        <v>-11995532.46</v>
      </c>
      <c r="G5" s="41" t="n">
        <v>0.758908</v>
      </c>
      <c r="H5" s="40" t="n">
        <v>64730515.78285713</v>
      </c>
      <c r="I5" s="40" t="n">
        <v>14975515.78285713</v>
      </c>
      <c r="J5" s="42" t="inlineStr">
        <is>
          <t>HIGH RISK</t>
        </is>
      </c>
    </row>
    <row r="6">
      <c r="A6" s="39" t="inlineStr">
        <is>
          <t>Operations</t>
        </is>
      </c>
      <c r="B6" s="40" t="n">
        <v>23320000</v>
      </c>
      <c r="C6" s="51" t="n">
        <v>2226127200</v>
      </c>
      <c r="D6" s="40" t="n">
        <v>16620187.32</v>
      </c>
      <c r="E6" s="51" t="n">
        <v>1586563081.5672</v>
      </c>
      <c r="F6" s="40" t="n">
        <v>-6699812.68</v>
      </c>
      <c r="G6" s="41" t="n">
        <v>0.712701</v>
      </c>
      <c r="H6" s="40" t="n">
        <v>28491749.69142857</v>
      </c>
      <c r="I6" s="40" t="n">
        <v>5171749.691428572</v>
      </c>
      <c r="J6" s="42" t="inlineStr">
        <is>
          <t>HIGH RISK</t>
        </is>
      </c>
    </row>
    <row r="7">
      <c r="A7" s="39" t="inlineStr">
        <is>
          <t>Product &amp; Design</t>
        </is>
      </c>
      <c r="B7" s="40" t="n">
        <v>19080000</v>
      </c>
      <c r="C7" s="51" t="n">
        <v>1821376800</v>
      </c>
      <c r="D7" s="40" t="n">
        <v>12010783.68</v>
      </c>
      <c r="E7" s="51" t="n">
        <v>1146549410.0928</v>
      </c>
      <c r="F7" s="40" t="n">
        <v>-7069216.32</v>
      </c>
      <c r="G7" s="41" t="n">
        <v>0.6294959999999999</v>
      </c>
      <c r="H7" s="40" t="n">
        <v>20589914.88</v>
      </c>
      <c r="I7" s="40" t="n">
        <v>1509914.879999999</v>
      </c>
      <c r="J7" s="43" t="inlineStr">
        <is>
          <t>ON TRACK</t>
        </is>
      </c>
    </row>
    <row r="8">
      <c r="A8" s="39" t="inlineStr">
        <is>
          <t>Sales</t>
        </is>
      </c>
      <c r="B8" s="40" t="n">
        <v>28350000</v>
      </c>
      <c r="C8" s="51" t="n">
        <v>2706291000</v>
      </c>
      <c r="D8" s="40" t="n">
        <v>16839900</v>
      </c>
      <c r="E8" s="51" t="n">
        <v>1607536854</v>
      </c>
      <c r="F8" s="40" t="n">
        <v>-11510100</v>
      </c>
      <c r="G8" s="41" t="n">
        <v>0.594</v>
      </c>
      <c r="H8" s="40" t="n">
        <v>28868400</v>
      </c>
      <c r="I8" s="40" t="n">
        <v>518400</v>
      </c>
      <c r="J8" s="43" t="inlineStr">
        <is>
          <t>ON TRACK</t>
        </is>
      </c>
    </row>
    <row r="9">
      <c r="A9" s="39" t="inlineStr">
        <is>
          <t>Finance &amp; Legal</t>
        </is>
      </c>
      <c r="B9" s="40" t="n">
        <v>16640000</v>
      </c>
      <c r="C9" s="51" t="n">
        <v>1588454400</v>
      </c>
      <c r="D9" s="40" t="n">
        <v>9093427.199999999</v>
      </c>
      <c r="E9" s="51" t="n">
        <v>868058560.5119998</v>
      </c>
      <c r="F9" s="40" t="n">
        <v>-7546572.800000001</v>
      </c>
      <c r="G9" s="41" t="n">
        <v>0.54648</v>
      </c>
      <c r="H9" s="40" t="n">
        <v>15588732.34285714</v>
      </c>
      <c r="I9" s="40" t="n">
        <v>-1051267.657142859</v>
      </c>
      <c r="J9" s="43" t="inlineStr">
        <is>
          <t>ON TRACK</t>
        </is>
      </c>
    </row>
    <row r="10">
      <c r="A10" s="39" t="inlineStr">
        <is>
          <t>Marketing</t>
        </is>
      </c>
      <c r="B10" s="40" t="n">
        <v>31200000</v>
      </c>
      <c r="C10" s="51" t="n">
        <v>2978352000</v>
      </c>
      <c r="D10" s="40" t="n">
        <v>16510665.6</v>
      </c>
      <c r="E10" s="51" t="n">
        <v>1576108138.176</v>
      </c>
      <c r="F10" s="40" t="n">
        <v>-14689334.4</v>
      </c>
      <c r="G10" s="41" t="n">
        <v>0.529188</v>
      </c>
      <c r="H10" s="40" t="n">
        <v>28303998.17142857</v>
      </c>
      <c r="I10" s="40" t="n">
        <v>-2896001.828571431</v>
      </c>
      <c r="J10" s="43" t="inlineStr">
        <is>
          <t>ON TRACK</t>
        </is>
      </c>
    </row>
    <row r="11">
      <c r="A11" s="39" t="inlineStr">
        <is>
          <t>Customer Success</t>
        </is>
      </c>
      <c r="B11" s="40" t="n">
        <v>20600000</v>
      </c>
      <c r="C11" s="51" t="n">
        <v>1966476000</v>
      </c>
      <c r="D11" s="40" t="n">
        <v>10043571.2</v>
      </c>
      <c r="E11" s="51" t="n">
        <v>958759306.7519999</v>
      </c>
      <c r="F11" s="40" t="n">
        <v>-10556428.8</v>
      </c>
      <c r="G11" s="41" t="n">
        <v>0.487552</v>
      </c>
      <c r="H11" s="40" t="n">
        <v>17217550.62857142</v>
      </c>
      <c r="I11" s="40" t="n">
        <v>-3382449.371428575</v>
      </c>
      <c r="J11" s="44" t="inlineStr">
        <is>
          <t>UNDERUTILIZED</t>
        </is>
      </c>
    </row>
  </sheetData>
  <autoFilter ref="A4:J11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5" customWidth="1" min="3" max="3"/>
  </cols>
  <sheetData>
    <row r="1">
      <c r="A1" s="49" t="inlineStr">
        <is>
          <t>FX &amp; Model Assumptions</t>
        </is>
      </c>
    </row>
    <row r="3">
      <c r="A3" s="47" t="inlineStr">
        <is>
          <t>Assumption</t>
        </is>
      </c>
      <c r="B3" s="47" t="inlineStr">
        <is>
          <t>Value</t>
        </is>
      </c>
      <c r="C3" s="47" t="inlineStr">
        <is>
          <t>Notes</t>
        </is>
      </c>
    </row>
    <row r="4">
      <c r="A4" t="inlineStr">
        <is>
          <t>USD to INR</t>
        </is>
      </c>
      <c r="B4" s="52" t="n">
        <v>95.45999999999999</v>
      </c>
      <c r="C4" t="inlineStr">
        <is>
          <t>Fixed presentation rate dated 25-Aug-2026; not historical transaction FX.</t>
        </is>
      </c>
    </row>
    <row r="5">
      <c r="A5" t="inlineStr">
        <is>
          <t>FY2026 YTD cutoff</t>
        </is>
      </c>
      <c r="B5" t="inlineStr">
        <is>
          <t>2026-07-31</t>
        </is>
      </c>
      <c r="C5" t="inlineStr">
        <is>
          <t>Seven completed months are used for the linear run-rate.</t>
        </is>
      </c>
    </row>
    <row r="6">
      <c r="A6" t="inlineStr">
        <is>
          <t>Scenario starting revenue USD</t>
        </is>
      </c>
      <c r="B6" s="27" t="n">
        <v>220000000</v>
      </c>
      <c r="C6" t="inlineStr">
        <is>
          <t>Illustrative operating-model starting point.</t>
        </is>
      </c>
    </row>
    <row r="7">
      <c r="A7" t="inlineStr">
        <is>
          <t>Random seed</t>
        </is>
      </c>
      <c r="B7" t="n">
        <v>42</v>
      </c>
      <c r="C7" t="inlineStr">
        <is>
          <t>Used by the Python data generator.</t>
        </is>
      </c>
    </row>
  </sheetData>
  <pageMargins left="0.75" right="0.75" top="1" bottom="1" header="0.5" footer="0.5"/>
  <pageSetup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9" t="inlineStr">
        <is>
          <t>How to use this workbook</t>
        </is>
      </c>
    </row>
    <row r="3">
      <c r="A3" s="53" t="inlineStr">
        <is>
          <t>• Synthetic portfolio model — no real company data is used.</t>
        </is>
      </c>
    </row>
    <row r="4">
      <c r="A4" s="53" t="inlineStr">
        <is>
          <t>• FY2026 ERP actuals cover January through July 2026.</t>
        </is>
      </c>
    </row>
    <row r="5">
      <c r="A5" s="53" t="inlineStr">
        <is>
          <t>• Annualized spend = YTD actual / (7/12).</t>
        </is>
      </c>
    </row>
    <row r="6">
      <c r="A6" s="53" t="inlineStr">
        <is>
          <t>• USD-to-INR uses a fixed ₹95.46/USD presentation assumption.</t>
        </is>
      </c>
    </row>
    <row r="7">
      <c r="A7" s="53" t="inlineStr">
        <is>
          <t>• The Scenario Engine is illustrative and separate from the ERP spend ledger.</t>
        </is>
      </c>
    </row>
    <row r="8">
      <c r="A8" s="53" t="inlineStr">
        <is>
          <t>• Use the Scenario selector on the Scenario Engine sheet to switch Bear / Base / Bull.</t>
        </is>
      </c>
    </row>
    <row r="9">
      <c r="A9" s="53" t="inlineStr">
        <is>
          <t>• The sensitivity grid shows how EBITDA margin changes with revenue growth and OPEX inflation.</t>
        </is>
      </c>
    </row>
    <row r="10">
      <c r="A10" s="53" t="inlineStr">
        <is>
          <t>• For a real FP&amp;A implementation, add monthly budget phasing, seasonality, commitments and historical FX.</t>
        </is>
      </c>
    </row>
  </sheetData>
  <pageMargins left="0.75" right="0.75" top="1" bottom="1" header="0.5" footer="0.5"/>
  <pageSetup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9" t="inlineStr">
        <is>
          <t>Projected FY2026 Variance by Department</t>
        </is>
      </c>
    </row>
    <row r="2">
      <c r="A2" s="33" t="inlineStr">
        <is>
          <t>Positive values indicate projected over-budget spend.</t>
        </is>
      </c>
    </row>
    <row r="4">
      <c r="A4" s="47" t="inlineStr">
        <is>
          <t>Department</t>
        </is>
      </c>
      <c r="B4" s="47" t="inlineStr">
        <is>
          <t>Projected Variance USD</t>
        </is>
      </c>
    </row>
    <row r="5">
      <c r="A5" t="inlineStr">
        <is>
          <t>Operations</t>
        </is>
      </c>
      <c r="B5" s="27" t="n">
        <v>5171749.691428572</v>
      </c>
    </row>
    <row r="6">
      <c r="A6" t="inlineStr">
        <is>
          <t>Product &amp; Design</t>
        </is>
      </c>
      <c r="B6" s="27" t="n">
        <v>1509914.879999999</v>
      </c>
    </row>
    <row r="7">
      <c r="A7" t="inlineStr">
        <is>
          <t>Sales</t>
        </is>
      </c>
      <c r="B7" s="27" t="n">
        <v>518400</v>
      </c>
    </row>
    <row r="8">
      <c r="A8" t="inlineStr">
        <is>
          <t>Finance &amp; Legal</t>
        </is>
      </c>
      <c r="B8" s="27" t="n">
        <v>-1051267.657142859</v>
      </c>
    </row>
    <row r="9">
      <c r="A9" t="inlineStr">
        <is>
          <t>Marketing</t>
        </is>
      </c>
      <c r="B9" s="27" t="n">
        <v>-2896001.828571431</v>
      </c>
    </row>
    <row r="10">
      <c r="A10" t="inlineStr">
        <is>
          <t>Customer Success</t>
        </is>
      </c>
      <c r="B10" s="27" t="n">
        <v>-3382449.371428575</v>
      </c>
    </row>
    <row r="11">
      <c r="B11" s="27" t="n"/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case study</dc:creator>
  <dc:title xmlns:dc="http://purl.org/dc/elements/1.1/">Enterprise FP&amp;A Analytics</dc:title>
  <dc:subject xmlns:dc="http://purl.org/dc/elements/1.1/">Synthetic budget variance and scenario analysis case study</dc:subject>
  <dcterms:created xmlns:dcterms="http://purl.org/dc/terms/" xmlns:xsi="http://www.w3.org/2001/XMLSchema-instance" xsi:type="dcterms:W3CDTF">2026-08-25T13:38:46Z</dcterms:created>
  <dcterms:modified xmlns:dcterms="http://purl.org/dc/terms/" xmlns:xsi="http://www.w3.org/2001/XMLSchema-instance" xsi:type="dcterms:W3CDTF">2026-08-25T13:54:17Z</dcterms:modified>
</cp:coreProperties>
</file>